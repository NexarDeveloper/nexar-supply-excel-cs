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ltiuminc-my.sharepoint.com/personal/chung_man_altium_com/Documents/Documents/Nexar-Excel add in/"/>
    </mc:Choice>
  </mc:AlternateContent>
  <xr:revisionPtr revIDLastSave="11" documentId="8_{A91EA121-109E-4E4A-85E7-40FEE62CF70F}" xr6:coauthVersionLast="47" xr6:coauthVersionMax="47" xr10:uidLastSave="{1223E22B-1F69-4365-8589-F76BDAA974BE}"/>
  <bookViews>
    <workbookView xWindow="33225" yWindow="-16590" windowWidth="29040" windowHeight="15840" tabRatio="477" xr2:uid="{00000000-000D-0000-FFFF-FFFF00000000}"/>
  </bookViews>
  <sheets>
    <sheet name="Sample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B9" i="2"/>
  <c r="H10" i="2"/>
  <c r="D8" i="2"/>
  <c r="C8" i="2"/>
  <c r="H9" i="2"/>
  <c r="H8" i="2"/>
  <c r="G8" i="2"/>
  <c r="J9" i="2"/>
  <c r="E9" i="2"/>
  <c r="G10" i="2"/>
  <c r="I9" i="2"/>
  <c r="C9" i="2"/>
  <c r="F8" i="2"/>
  <c r="E8" i="2"/>
  <c r="G9" i="2"/>
  <c r="D10" i="2"/>
  <c r="C10" i="2"/>
  <c r="F9" i="2"/>
  <c r="E10" i="2"/>
  <c r="I8" i="2"/>
  <c r="J10" i="2"/>
  <c r="F10" i="2"/>
  <c r="B4" i="2"/>
  <c r="B8" i="2"/>
  <c r="I10" i="2"/>
  <c r="D9" i="2"/>
  <c r="B3" i="2"/>
  <c r="J8" i="2"/>
</calcChain>
</file>

<file path=xl/sharedStrings.xml><?xml version="1.0" encoding="utf-8"?>
<sst xmlns="http://schemas.openxmlformats.org/spreadsheetml/2006/main" count="12" uniqueCount="12">
  <si>
    <t xml:space="preserve">Client Id:  </t>
  </si>
  <si>
    <t xml:space="preserve">Client Secret: </t>
  </si>
  <si>
    <t>Ready?</t>
  </si>
  <si>
    <t>Version:</t>
  </si>
  <si>
    <t>Digi-Key</t>
  </si>
  <si>
    <t>&lt;- Put your Client Id in B1</t>
  </si>
  <si>
    <t>&lt;- Put your Client Secret in B2</t>
  </si>
  <si>
    <t>HLE-108-02-G-DV-BE-A</t>
  </si>
  <si>
    <t>Avnet</t>
  </si>
  <si>
    <t>AHD-06SR</t>
  </si>
  <si>
    <t>A112263-90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</si>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</sst>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0" borderId="0" xfId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2C72F-9DC4-439C-9B54-D9284EB2FA47}">
  <dimension ref="A1:J13"/>
  <sheetViews>
    <sheetView tabSelected="1" workbookViewId="0">
      <selection activeCell="G8" sqref="G8"/>
    </sheetView>
  </sheetViews>
  <sheetFormatPr defaultColWidth="22.21875" defaultRowHeight="14.4" x14ac:dyDescent="0.3"/>
  <sheetData>
    <row r="1" spans="1:10" x14ac:dyDescent="0.3">
      <c r="A1" s="1" t="s">
        <v>0</v>
      </c>
      <c r="C1" t="s">
        <v>5</v>
      </c>
    </row>
    <row r="2" spans="1:10" ht="15.75" customHeight="1" x14ac:dyDescent="0.3">
      <c r="A2" s="1" t="s">
        <v>1</v>
      </c>
      <c r="C2" t="s">
        <v>6</v>
      </c>
    </row>
    <row r="3" spans="1:10" x14ac:dyDescent="0.3">
      <c r="A3" t="s">
        <v>3</v>
      </c>
      <c r="B3" t="str">
        <f ca="1">_xll.NEXAR_SUPPLY_VERSION()</f>
        <v>0.6.0</v>
      </c>
    </row>
    <row r="4" spans="1:10" x14ac:dyDescent="0.3">
      <c r="A4" t="s">
        <v>2</v>
      </c>
      <c r="B4" t="str">
        <f ca="1">_xll.NEXAR_SUPPLY_LOGIN(B1,B2)</f>
        <v>Please provide your Nexar application Client Id and Secret</v>
      </c>
    </row>
    <row r="6" spans="1:10" x14ac:dyDescent="0.3">
      <c r="C6" s="2" t="s">
        <v>4</v>
      </c>
      <c r="G6" t="s">
        <v>8</v>
      </c>
    </row>
    <row r="7" spans="1:10" x14ac:dyDescent="0.3">
      <c r="A7" s="2"/>
      <c r="B7" t="s">
        <v>11</v>
      </c>
      <c r="C7" s="2">
        <v>1</v>
      </c>
      <c r="D7" s="2">
        <v>10</v>
      </c>
      <c r="E7" s="2">
        <v>100</v>
      </c>
      <c r="F7" s="2">
        <v>1000</v>
      </c>
      <c r="G7" s="2">
        <v>1</v>
      </c>
      <c r="H7" s="2">
        <v>10</v>
      </c>
      <c r="I7" s="2">
        <v>100</v>
      </c>
      <c r="J7" s="2">
        <v>1000</v>
      </c>
    </row>
    <row r="8" spans="1:10" x14ac:dyDescent="0.3">
      <c r="A8" t="s">
        <v>7</v>
      </c>
      <c r="B8" s="2" t="str">
        <f>_xll.NEXAR_SUPPLY_SHORT_DESCRIPTION(A8)</f>
        <v>ERROR: Query did not provide a result. Please widen your search criteria.</v>
      </c>
      <c r="C8" s="2" t="str">
        <f>_xll.NEXAR_SUPPLY_DISTRIBUTOR_PRICE($A8,,$C$6,C$7)</f>
        <v>ERROR: Query did not provide a result. Please widen your search criteria.</v>
      </c>
      <c r="D8" s="2" t="str">
        <f>_xll.NEXAR_SUPPLY_DISTRIBUTOR_PRICE($A8,,$C$6,D$7)</f>
        <v>ERROR: Query did not provide a result. Please widen your search criteria.</v>
      </c>
      <c r="E8" s="2" t="str">
        <f>_xll.NEXAR_SUPPLY_DISTRIBUTOR_PRICE($A8,,$C$6,E$7)</f>
        <v>ERROR: Query did not provide a result. Please widen your search criteria.</v>
      </c>
      <c r="F8" s="2" t="str">
        <f>_xll.NEXAR_SUPPLY_DISTRIBUTOR_PRICE($A8,,$C$6,F$7)</f>
        <v xml:space="preserve">ERROR: Please login with a call to NEXAR_SUPPLY_LOGIN </v>
      </c>
      <c r="G8" s="2" t="str">
        <f>_xll.NEXAR_SUPPLY_DISTRIBUTOR_PRICE($A8,,$G$6,G$7)</f>
        <v xml:space="preserve">ERROR: Please login with a call to NEXAR_SUPPLY_LOGIN </v>
      </c>
      <c r="H8" s="2" t="str">
        <f>_xll.NEXAR_SUPPLY_DISTRIBUTOR_PRICE($A8,,$G$6,H$7)</f>
        <v>ERROR: Query did not provide a result. Please widen your search criteria.</v>
      </c>
      <c r="I8" s="2" t="str">
        <f>_xll.NEXAR_SUPPLY_DISTRIBUTOR_PRICE($A8,,$G$6,I$7)</f>
        <v>ERROR: Query did not provide a result. Please widen your search criteria.</v>
      </c>
      <c r="J8" s="2" t="str">
        <f>_xll.NEXAR_SUPPLY_DISTRIBUTOR_PRICE($A8,,$G$6,J$7)</f>
        <v xml:space="preserve">ERROR: Please login with a call to NEXAR_SUPPLY_LOGIN </v>
      </c>
    </row>
    <row r="9" spans="1:10" ht="16.8" x14ac:dyDescent="0.4">
      <c r="A9" s="4" t="s">
        <v>10</v>
      </c>
      <c r="B9" s="2" t="str">
        <f>_xll.NEXAR_SUPPLY_SHORT_DESCRIPTION(A9)</f>
        <v xml:space="preserve">ERROR: Please login with a call to NEXAR_SUPPLY_LOGIN </v>
      </c>
      <c r="C9" s="2" t="str">
        <f>_xll.NEXAR_SUPPLY_DISTRIBUTOR_PRICE($A9,,$C$6,C$7)</f>
        <v>ERROR: Query did not provide a result. Please widen your search criteria.</v>
      </c>
      <c r="D9" s="2" t="str">
        <f>_xll.NEXAR_SUPPLY_DISTRIBUTOR_PRICE($A9,,$C$6,D$7)</f>
        <v xml:space="preserve">ERROR: Please login with a call to NEXAR_SUPPLY_LOGIN </v>
      </c>
      <c r="E9" s="2" t="str">
        <f>_xll.NEXAR_SUPPLY_DISTRIBUTOR_PRICE($A9,,$C$6,E$7)</f>
        <v xml:space="preserve">ERROR: Please login with a call to NEXAR_SUPPLY_LOGIN </v>
      </c>
      <c r="F9" s="2" t="str">
        <f>_xll.NEXAR_SUPPLY_DISTRIBUTOR_PRICE($A9,,$C$6,F$7)</f>
        <v xml:space="preserve">ERROR: Please login with a call to NEXAR_SUPPLY_LOGIN </v>
      </c>
      <c r="G9" s="2" t="str">
        <f>_xll.NEXAR_SUPPLY_DISTRIBUTOR_PRICE($A9,,$G$6,G$7)</f>
        <v xml:space="preserve">ERROR: Please login with a call to NEXAR_SUPPLY_LOGIN </v>
      </c>
      <c r="H9" s="2" t="str">
        <f>_xll.NEXAR_SUPPLY_DISTRIBUTOR_PRICE($A9,,$G$6,H$7)</f>
        <v xml:space="preserve">ERROR: Please login with a call to NEXAR_SUPPLY_LOGIN </v>
      </c>
      <c r="I9" s="2" t="str">
        <f>_xll.NEXAR_SUPPLY_DISTRIBUTOR_PRICE($A9,,$G$6,I$7)</f>
        <v>ERROR: Query did not provide a result. Please widen your search criteria.</v>
      </c>
      <c r="J9" s="2" t="str">
        <f>_xll.NEXAR_SUPPLY_DISTRIBUTOR_PRICE($A9,,$G$6,J$7)</f>
        <v xml:space="preserve">ERROR: Please login with a call to NEXAR_SUPPLY_LOGIN </v>
      </c>
    </row>
    <row r="10" spans="1:10" ht="16.8" x14ac:dyDescent="0.4">
      <c r="A10" s="4" t="s">
        <v>9</v>
      </c>
      <c r="B10" s="2" t="str">
        <f>_xll.NEXAR_SUPPLY_SHORT_DESCRIPTION(A10)</f>
        <v xml:space="preserve">ERROR: Please login with a call to NEXAR_SUPPLY_LOGIN </v>
      </c>
      <c r="C10" s="2" t="str">
        <f>_xll.NEXAR_SUPPLY_DISTRIBUTOR_PRICE($A10,,$C$6,C$7)</f>
        <v xml:space="preserve">ERROR: Please login with a call to NEXAR_SUPPLY_LOGIN </v>
      </c>
      <c r="D10" s="2" t="str">
        <f>_xll.NEXAR_SUPPLY_DISTRIBUTOR_PRICE($A10,,$C$6,D$7)</f>
        <v xml:space="preserve">ERROR: Please login with a call to NEXAR_SUPPLY_LOGIN </v>
      </c>
      <c r="E10" s="2" t="str">
        <f>_xll.NEXAR_SUPPLY_DISTRIBUTOR_PRICE($A10,,$C$6,E$7)</f>
        <v xml:space="preserve">ERROR: Please login with a call to NEXAR_SUPPLY_LOGIN </v>
      </c>
      <c r="F10" s="2" t="str">
        <f>_xll.NEXAR_SUPPLY_DISTRIBUTOR_PRICE($A10,,$C$6,F$7)</f>
        <v>ERROR: Query did not provide a result. Please widen your search criteria.</v>
      </c>
      <c r="G10" s="2" t="str">
        <f>_xll.NEXAR_SUPPLY_DISTRIBUTOR_PRICE($A10,,$G$6,G$7)</f>
        <v>ERROR: Query did not provide a result. Please widen your search criteria.</v>
      </c>
      <c r="H10" s="2" t="str">
        <f>_xll.NEXAR_SUPPLY_DISTRIBUTOR_PRICE($A10,,$G$6,H$7)</f>
        <v xml:space="preserve">ERROR: Please login with a call to NEXAR_SUPPLY_LOGIN </v>
      </c>
      <c r="I10" s="2" t="str">
        <f>_xll.NEXAR_SUPPLY_DISTRIBUTOR_PRICE($A10,,$G$6,I$7)</f>
        <v xml:space="preserve">ERROR: Please login with a call to NEXAR_SUPPLY_LOGIN </v>
      </c>
      <c r="J10" s="2" t="str">
        <f>_xll.NEXAR_SUPPLY_DISTRIBUTOR_PRICE($A10,,$G$6,J$7)</f>
        <v>ERROR: Query did not provide a result. Please widen your search criteria.</v>
      </c>
    </row>
    <row r="11" spans="1:10" x14ac:dyDescent="0.3">
      <c r="C11" s="2"/>
      <c r="E11" s="3"/>
      <c r="F11" s="3"/>
    </row>
    <row r="13" spans="1:10" x14ac:dyDescent="0.3">
      <c r="G13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Barton</dc:creator>
  <cp:lastModifiedBy>Chung Man</cp:lastModifiedBy>
  <dcterms:created xsi:type="dcterms:W3CDTF">2021-02-25T12:12:45Z</dcterms:created>
  <dcterms:modified xsi:type="dcterms:W3CDTF">2025-04-10T08:50:29Z</dcterms:modified>
</cp:coreProperties>
</file>