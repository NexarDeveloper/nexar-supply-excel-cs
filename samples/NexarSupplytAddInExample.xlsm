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Repos\nexar-supply-excel-cs\samples\"/>
    </mc:Choice>
  </mc:AlternateContent>
  <xr:revisionPtr revIDLastSave="0" documentId="13_ncr:1_{ABF6B917-0863-4F0B-A09F-0BA445E6CE52}" xr6:coauthVersionLast="47" xr6:coauthVersionMax="47" xr10:uidLastSave="{00000000-0000-0000-0000-000000000000}"/>
  <bookViews>
    <workbookView xWindow="67080" yWindow="-120" windowWidth="29040" windowHeight="16440" tabRatio="477" xr2:uid="{00000000-000D-0000-FFFF-FFFF00000000}"/>
  </bookViews>
  <sheets>
    <sheet name="Sample" sheetId="2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" i="2" l="1" a="1"/>
  <c r="J17" i="2"/>
  <c r="F21" i="2"/>
  <c r="B17" i="2"/>
  <c r="D14" i="2"/>
  <c r="E28" i="2" a="1"/>
  <c r="K11" i="2" a="1"/>
  <c r="K15" i="2" a="1"/>
  <c r="D9" i="2"/>
  <c r="E9" i="2"/>
  <c r="I16" i="2"/>
  <c r="F12" i="2"/>
  <c r="I8" i="2"/>
  <c r="J12" i="2"/>
  <c r="G11" i="2"/>
  <c r="D10" i="2"/>
  <c r="J8" i="2"/>
  <c r="C22" i="2"/>
  <c r="G18" i="2"/>
  <c r="E26" i="2" a="1"/>
  <c r="F20" i="2"/>
  <c r="F8" i="2"/>
  <c r="E16" i="2"/>
  <c r="C17" i="2"/>
  <c r="I21" i="2"/>
  <c r="K18" i="2" a="1"/>
  <c r="K21" i="2" a="1"/>
  <c r="J14" i="2"/>
  <c r="F15" i="2"/>
  <c r="D21" i="2"/>
  <c r="E27" i="2" a="1"/>
  <c r="G16" i="2"/>
  <c r="J9" i="2"/>
  <c r="C19" i="2"/>
  <c r="B3" i="2" a="1"/>
  <c r="B4" i="2" a="1"/>
  <c r="G19" i="2"/>
  <c r="E25" i="2" a="1"/>
  <c r="D11" i="2"/>
  <c r="B16" i="2"/>
  <c r="F7" i="2" a="1"/>
  <c r="I19" i="2"/>
  <c r="G13" i="2"/>
  <c r="K22" i="2" a="1"/>
  <c r="K16" i="2" a="1"/>
  <c r="D19" i="2"/>
  <c r="G10" i="2"/>
  <c r="H17" i="2"/>
  <c r="H19" i="2"/>
  <c r="B22" i="2"/>
  <c r="H20" i="2"/>
  <c r="E19" i="2"/>
  <c r="B18" i="2"/>
  <c r="H16" i="2"/>
  <c r="E15" i="2"/>
  <c r="E11" i="2"/>
  <c r="J7" i="2" a="1"/>
  <c r="J13" i="2"/>
  <c r="I7" i="2" a="1"/>
  <c r="C21" i="2"/>
  <c r="K17" i="2" a="1"/>
  <c r="K7" i="2" a="1"/>
  <c r="B8" i="2"/>
  <c r="D17" i="2"/>
  <c r="C10" i="2"/>
  <c r="I17" i="2"/>
  <c r="H10" i="2"/>
  <c r="F22" i="2"/>
  <c r="K12" i="2" a="1"/>
  <c r="G20" i="2"/>
  <c r="I13" i="2"/>
  <c r="D12" i="2"/>
  <c r="F11" i="2"/>
  <c r="E12" i="2"/>
  <c r="B11" i="2"/>
  <c r="H9" i="2"/>
  <c r="E8" i="2"/>
  <c r="C12" i="2"/>
  <c r="J15" i="2"/>
  <c r="B21" i="2"/>
  <c r="H7" i="2" a="1"/>
  <c r="D13" i="2"/>
  <c r="C8" i="2"/>
  <c r="G22" i="2"/>
  <c r="C7" i="2" a="1"/>
  <c r="D15" i="2"/>
  <c r="K10" i="2" a="1"/>
  <c r="H21" i="2"/>
  <c r="J20" i="2"/>
  <c r="C9" i="2"/>
  <c r="H8" i="2"/>
  <c r="J22" i="2"/>
  <c r="G21" i="2"/>
  <c r="D20" i="2"/>
  <c r="J18" i="2"/>
  <c r="G17" i="2"/>
  <c r="E13" i="2"/>
  <c r="C14" i="2"/>
  <c r="G7" i="2" a="1"/>
  <c r="C13" i="2"/>
  <c r="B12" i="2"/>
  <c r="B15" i="2"/>
  <c r="G12" i="2"/>
  <c r="K13" i="2" a="1"/>
  <c r="D16" i="2"/>
  <c r="C18" i="2"/>
  <c r="I10" i="2"/>
  <c r="H18" i="2"/>
  <c r="D22" i="2"/>
  <c r="G15" i="2"/>
  <c r="K19" i="2" a="1"/>
  <c r="H13" i="2"/>
  <c r="F13" i="2"/>
  <c r="B19" i="2"/>
  <c r="I12" i="2"/>
  <c r="G9" i="2"/>
  <c r="C20" i="2"/>
  <c r="I18" i="2"/>
  <c r="F17" i="2"/>
  <c r="C16" i="2"/>
  <c r="I14" i="2"/>
  <c r="E20" i="2"/>
  <c r="F14" i="2"/>
  <c r="E7" i="2" a="1"/>
  <c r="D7" i="2" a="1"/>
  <c r="D8" i="2"/>
  <c r="I15" i="2"/>
  <c r="I9" i="2"/>
  <c r="F18" i="2"/>
  <c r="J21" i="2"/>
  <c r="K8" i="2" a="1"/>
  <c r="C15" i="2"/>
  <c r="I11" i="2"/>
  <c r="J19" i="2"/>
  <c r="D18" i="2"/>
  <c r="G14" i="2"/>
  <c r="F16" i="2"/>
  <c r="H22" i="2"/>
  <c r="E21" i="2"/>
  <c r="B20" i="2"/>
  <c r="E17" i="2"/>
  <c r="F9" i="2"/>
  <c r="J16" i="2"/>
  <c r="K14" i="2" a="1"/>
  <c r="B9" i="2"/>
  <c r="B10" i="2"/>
  <c r="I20" i="2"/>
  <c r="C11" i="2"/>
  <c r="K20" i="2" a="1"/>
  <c r="F19" i="2"/>
  <c r="H14" i="2"/>
  <c r="J11" i="2"/>
  <c r="E18" i="2"/>
  <c r="H15" i="2"/>
  <c r="E14" i="2"/>
  <c r="B13" i="2"/>
  <c r="H11" i="2"/>
  <c r="E10" i="2"/>
  <c r="H12" i="2"/>
  <c r="I22" i="2"/>
  <c r="K9" i="2" a="1"/>
  <c r="F10" i="2"/>
  <c r="B14" i="2"/>
  <c r="E22" i="2"/>
  <c r="J10" i="2"/>
  <c r="G8" i="2"/>
  <c r="K16" i="2" l="1"/>
  <c r="K21" i="2"/>
  <c r="K15" i="2"/>
  <c r="K9" i="2"/>
  <c r="K20" i="2"/>
  <c r="K14" i="2"/>
  <c r="K8" i="2"/>
  <c r="K19" i="2"/>
  <c r="K13" i="2"/>
  <c r="K10" i="2"/>
  <c r="K12" i="2"/>
  <c r="K17" i="2"/>
  <c r="K22" i="2"/>
  <c r="K18" i="2"/>
  <c r="K11" i="2"/>
  <c r="K7" i="2"/>
  <c r="C7" i="2"/>
  <c r="D7" i="2"/>
  <c r="E7" i="2"/>
  <c r="F7" i="2"/>
  <c r="G7" i="2"/>
  <c r="H7" i="2"/>
  <c r="I7" i="2"/>
  <c r="J7" i="2"/>
  <c r="E25" i="2"/>
  <c r="E26" i="2"/>
  <c r="B4" i="2"/>
  <c r="B3" i="2"/>
  <c r="E27" i="2"/>
  <c r="B7" i="2"/>
  <c r="E28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<sst xmlns="http://schemas.openxmlformats.org/spreadsheetml/2006/main" count="27" uniqueCount="25">
  <si>
    <t>Quantity</t>
  </si>
  <si>
    <t>ADA870</t>
  </si>
  <si>
    <t>ADA900</t>
  </si>
  <si>
    <t>ADA500</t>
  </si>
  <si>
    <t xml:space="preserve">Client Id:  </t>
  </si>
  <si>
    <t xml:space="preserve">Client Secret: </t>
  </si>
  <si>
    <t>MPN</t>
  </si>
  <si>
    <t>MOQ</t>
  </si>
  <si>
    <t>Ready?</t>
  </si>
  <si>
    <t>Version:</t>
  </si>
  <si>
    <t>SKU</t>
  </si>
  <si>
    <t>Stock</t>
  </si>
  <si>
    <t>ClickURL</t>
  </si>
  <si>
    <t>Lead Time</t>
  </si>
  <si>
    <t>Order Multiple</t>
  </si>
  <si>
    <t>Dist URL</t>
  </si>
  <si>
    <t>Packaging</t>
  </si>
  <si>
    <t>Distributor</t>
  </si>
  <si>
    <t>Digi-Key</t>
  </si>
  <si>
    <t>ADA520</t>
  </si>
  <si>
    <t>Average Price</t>
  </si>
  <si>
    <t>Distributor Price</t>
  </si>
  <si>
    <t>&lt;- Put your Client Id in B1</t>
  </si>
  <si>
    <t>&lt;- Put your Client Secret in B2</t>
  </si>
  <si>
    <t>DatasheetURL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</si>
</sst>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6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0" fontId="2" fillId="0" borderId="0" xfId="0" applyFont="1"/>
    <xf numFmtId="0" fontId="3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octopart.com/1868794-sanford-65706392" TargetMode="External"/><Relationship Id="rId18" Type="http://schemas.openxmlformats.org/officeDocument/2006/relationships/hyperlink" Target="https://octopart.com/click/track?country=US&amp;ct=offers&amp;ppid=64751524&amp;sid=28843&amp;sig=07b2155&amp;vpid=631040776&amp;ai4=122649" TargetMode="External"/><Relationship Id="rId26" Type="http://schemas.openxmlformats.org/officeDocument/2006/relationships/hyperlink" Target="https://octopart.com/click/track?c=1&amp;country=US&amp;ct=offers&amp;ppid=64751532&amp;sid=14&amp;sig=00d65ff&amp;vpid=225660730&amp;ai4=122649" TargetMode="External"/><Relationship Id="rId3" Type="http://schemas.openxmlformats.org/officeDocument/2006/relationships/hyperlink" Target="https://octopart.com/1868784-dymo-64751524" TargetMode="External"/><Relationship Id="rId21" Type="http://schemas.openxmlformats.org/officeDocument/2006/relationships/hyperlink" Target="https://octopart.com/click/track?c=1&amp;country=US&amp;ct=offers&amp;ppid=64751527&amp;sid=14&amp;sig=01465f9&amp;vpid=225660725&amp;ai4=122649" TargetMode="External"/><Relationship Id="rId7" Type="http://schemas.openxmlformats.org/officeDocument/2006/relationships/hyperlink" Target="https://octopart.com/1868788-phoenix+contact-1941999" TargetMode="External"/><Relationship Id="rId12" Type="http://schemas.openxmlformats.org/officeDocument/2006/relationships/hyperlink" Target="https://octopart.com/1868793-dymo-64751533" TargetMode="External"/><Relationship Id="rId17" Type="http://schemas.openxmlformats.org/officeDocument/2006/relationships/hyperlink" Target="https://octopart.com/1868798-dymo-64751538" TargetMode="External"/><Relationship Id="rId25" Type="http://schemas.openxmlformats.org/officeDocument/2006/relationships/hyperlink" Target="https://octopart.com/click/track?country=US&amp;ct=offers&amp;ppid=64751531&amp;sid=28843&amp;sig=08fb657&amp;vpid=631040783&amp;ai4=122649" TargetMode="External"/><Relationship Id="rId33" Type="http://schemas.openxmlformats.org/officeDocument/2006/relationships/printerSettings" Target="../printerSettings/printerSettings1.bin"/><Relationship Id="rId2" Type="http://schemas.openxmlformats.org/officeDocument/2006/relationships/hyperlink" Target="https://octopart.com/click/track?country=US&amp;ct=offers&amp;ppid=64751523&amp;sid=10022&amp;sig=0dff514&amp;vpid=661546213&amp;ai4=122649" TargetMode="External"/><Relationship Id="rId16" Type="http://schemas.openxmlformats.org/officeDocument/2006/relationships/hyperlink" Target="https://octopart.com/1868797-dymo-64751537" TargetMode="External"/><Relationship Id="rId20" Type="http://schemas.openxmlformats.org/officeDocument/2006/relationships/hyperlink" Target="https://octopart.com/click/track?country=US&amp;ct=offers&amp;ppid=64751526&amp;sid=28843&amp;sig=008b57e&amp;vpid=631040778&amp;ai4=122649" TargetMode="External"/><Relationship Id="rId29" Type="http://schemas.openxmlformats.org/officeDocument/2006/relationships/hyperlink" Target="https://octopart.com/click/track?country=US&amp;ct=offers&amp;ppid=64751535&amp;sid=28843&amp;sig=0a98058&amp;vpid=631040787&amp;ai4=122649" TargetMode="External"/><Relationship Id="rId1" Type="http://schemas.openxmlformats.org/officeDocument/2006/relationships/hyperlink" Target="https://octopart.com/1868783-dymo-64751523" TargetMode="External"/><Relationship Id="rId6" Type="http://schemas.openxmlformats.org/officeDocument/2006/relationships/hyperlink" Target="https://octopart.com/1868787-dymo-64751527" TargetMode="External"/><Relationship Id="rId11" Type="http://schemas.openxmlformats.org/officeDocument/2006/relationships/hyperlink" Target="https://octopart.com/1868792-dymo-64751532" TargetMode="External"/><Relationship Id="rId24" Type="http://schemas.openxmlformats.org/officeDocument/2006/relationships/hyperlink" Target="https://octopart.com/click/track?country=US&amp;ct=offers&amp;ppid=64751530&amp;sid=28843&amp;sig=0a2619f&amp;vpid=631040782&amp;ai4=122649" TargetMode="External"/><Relationship Id="rId32" Type="http://schemas.openxmlformats.org/officeDocument/2006/relationships/hyperlink" Target="https://octopart.com/click/track?country=US&amp;ct=offers&amp;ppid=64751538&amp;sid=10022&amp;sig=0c599e4&amp;vpid=661546217&amp;ai4=122649" TargetMode="External"/><Relationship Id="rId5" Type="http://schemas.openxmlformats.org/officeDocument/2006/relationships/hyperlink" Target="https://octopart.com/1868786-dymo-64751526" TargetMode="External"/><Relationship Id="rId15" Type="http://schemas.openxmlformats.org/officeDocument/2006/relationships/hyperlink" Target="https://octopart.com/1868796-dymo-64751536" TargetMode="External"/><Relationship Id="rId23" Type="http://schemas.openxmlformats.org/officeDocument/2006/relationships/hyperlink" Target="https://octopart.com/click/track?country=US&amp;ct=offers&amp;ppid=64751529&amp;sid=28843&amp;sig=0f36568&amp;vpid=631040781&amp;ai4=122649" TargetMode="External"/><Relationship Id="rId28" Type="http://schemas.openxmlformats.org/officeDocument/2006/relationships/hyperlink" Target="https://octopart.com/click/track?c=1&amp;country=US&amp;ct=offers&amp;ppid=64751534&amp;sid=14&amp;sig=0e26415&amp;vpid=225660732&amp;ai4=122649" TargetMode="External"/><Relationship Id="rId10" Type="http://schemas.openxmlformats.org/officeDocument/2006/relationships/hyperlink" Target="https://octopart.com/1868791-dymo-64751531" TargetMode="External"/><Relationship Id="rId19" Type="http://schemas.openxmlformats.org/officeDocument/2006/relationships/hyperlink" Target="https://octopart.com/click/track?country=US&amp;ct=offers&amp;ppid=64751525&amp;sid=10022&amp;sig=0c68eb5&amp;vpid=661546214&amp;ai4=122649" TargetMode="External"/><Relationship Id="rId31" Type="http://schemas.openxmlformats.org/officeDocument/2006/relationships/hyperlink" Target="https://octopart.com/click/track?country=US&amp;ct=offers&amp;ppid=64751537&amp;sid=28843&amp;sig=0ac084d&amp;vpid=631040789&amp;ai4=122649" TargetMode="External"/><Relationship Id="rId4" Type="http://schemas.openxmlformats.org/officeDocument/2006/relationships/hyperlink" Target="https://octopart.com/1868785-dymo-64751525" TargetMode="External"/><Relationship Id="rId9" Type="http://schemas.openxmlformats.org/officeDocument/2006/relationships/hyperlink" Target="https://octopart.com/1868790-dymo-64751530" TargetMode="External"/><Relationship Id="rId14" Type="http://schemas.openxmlformats.org/officeDocument/2006/relationships/hyperlink" Target="https://octopart.com/1868795-dymo-64751535" TargetMode="External"/><Relationship Id="rId22" Type="http://schemas.openxmlformats.org/officeDocument/2006/relationships/hyperlink" Target="https://octopart.com/click/track?c=1&amp;country=US&amp;ct=offers&amp;ppid=1941999&amp;sid=459&amp;sig=03e2a87&amp;vpid=89007531&amp;ai4=122649" TargetMode="External"/><Relationship Id="rId27" Type="http://schemas.openxmlformats.org/officeDocument/2006/relationships/hyperlink" Target="https://octopart.com/click/track?c=1&amp;country=US&amp;ct=offers&amp;ppid=64751533&amp;sid=14&amp;sig=0a9ad64&amp;vpid=225660731&amp;ai4=122649" TargetMode="External"/><Relationship Id="rId30" Type="http://schemas.openxmlformats.org/officeDocument/2006/relationships/hyperlink" Target="https://octopart.com/click/track?country=US&amp;ct=offers&amp;ppid=64751536&amp;sid=10022&amp;sig=0272f55&amp;vpid=661546216&amp;ai4=122649" TargetMode="External"/><Relationship Id="rId8" Type="http://schemas.openxmlformats.org/officeDocument/2006/relationships/hyperlink" Target="https://octopart.com/1868789-dymo-64751529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2C72F-9DC4-439C-9B54-D9284EB2FA47}">
  <dimension ref="A1:K29"/>
  <sheetViews>
    <sheetView tabSelected="1" workbookViewId="0">
      <selection activeCell="K1" sqref="K1:K1048576"/>
    </sheetView>
  </sheetViews>
  <sheetFormatPr defaultRowHeight="15" x14ac:dyDescent="0.25"/>
  <cols>
    <col min="1" max="1" width="13" customWidth="1"/>
    <col min="2" max="2" width="10.85546875" customWidth="1"/>
    <col min="3" max="3" width="26.42578125" customWidth="1"/>
    <col min="4" max="4" width="12.5703125" customWidth="1"/>
    <col min="5" max="5" width="43.28515625" customWidth="1"/>
    <col min="6" max="6" width="10.28515625" customWidth="1"/>
    <col min="7" max="7" width="14.42578125" customWidth="1"/>
    <col min="8" max="8" width="30.28515625" customWidth="1"/>
    <col min="9" max="9" width="10.140625" customWidth="1"/>
  </cols>
  <sheetData>
    <row r="1" spans="1:11" x14ac:dyDescent="0.25">
      <c r="A1" s="1" t="s">
        <v>4</v>
      </c>
      <c r="C1" t="s">
        <v>22</v>
      </c>
    </row>
    <row r="2" spans="1:11" ht="15.75" customHeight="1" x14ac:dyDescent="0.25">
      <c r="A2" s="1" t="s">
        <v>5</v>
      </c>
      <c r="C2" t="s">
        <v>23</v>
      </c>
    </row>
    <row r="3" spans="1:11" x14ac:dyDescent="0.25">
      <c r="A3" t="s">
        <v>9</v>
      </c>
      <c r="B3" t="str" cm="1">
        <f t="array" aca="1" ref="B3" ca="1">_xll.NEXAR_SUPPLY_VERSION()</f>
        <v>0.2.0</v>
      </c>
    </row>
    <row r="4" spans="1:11" x14ac:dyDescent="0.25">
      <c r="A4" t="s">
        <v>8</v>
      </c>
      <c r="B4" t="str" cm="1">
        <f t="array" aca="1" ref="B4" ca="1">_xll.NEXAR_SUPPLY_LOGIN(B1,B2)</f>
        <v>Please provide your Nexar application Client Id and Secret</v>
      </c>
    </row>
    <row r="6" spans="1:11" s="4" customFormat="1" x14ac:dyDescent="0.25">
      <c r="A6" s="3" t="s">
        <v>6</v>
      </c>
      <c r="B6" s="3" t="s">
        <v>10</v>
      </c>
      <c r="C6" s="3" t="s">
        <v>20</v>
      </c>
      <c r="D6" s="3" t="s">
        <v>11</v>
      </c>
      <c r="E6" s="3" t="s">
        <v>12</v>
      </c>
      <c r="F6" s="3" t="s">
        <v>13</v>
      </c>
      <c r="G6" s="3" t="s">
        <v>14</v>
      </c>
      <c r="H6" s="3" t="s">
        <v>15</v>
      </c>
      <c r="I6" s="3" t="s">
        <v>16</v>
      </c>
      <c r="J6" s="3" t="s">
        <v>7</v>
      </c>
      <c r="K6" s="4" t="s">
        <v>24</v>
      </c>
    </row>
    <row r="7" spans="1:11" x14ac:dyDescent="0.25">
      <c r="A7" s="2">
        <v>1868783</v>
      </c>
      <c r="B7" s="2" t="str" cm="1">
        <f t="array" ref="B7">_xll.NEXAR_SUPPLY_DISTRIBUTOR_SKU(A7)</f>
        <v>8931817</v>
      </c>
      <c r="C7" s="2" cm="1">
        <f t="array" ref="C7">_xll.NEXAR_SUPPLY_AVERAGE_PRICE(A7)</f>
        <v>45.79</v>
      </c>
      <c r="D7" s="2" t="str" cm="1">
        <f t="array" ref="D7">_xll.NEXAR_SUPPLY_DISTRIBUTOR_STOCK($A7)</f>
        <v>In stock</v>
      </c>
      <c r="E7" s="5" t="str" cm="1">
        <f t="array" ref="E7">_xll.NEXAR_SUPPLY_DETAIL_URL(A7)</f>
        <v>https://octopart.com/1868783-dymo-64751523</v>
      </c>
      <c r="F7" s="2" t="str" cm="1">
        <f t="array" ref="F7">_xll.NEXAR_SUPPLY_DISTRIBUTOR_LEAD_TIME(A7)</f>
        <v/>
      </c>
      <c r="G7" s="2" t="str" cm="1">
        <f t="array" ref="G7">_xll.NEXAR_SUPPLY_DISTRIBUTOR_ORDER_MULTIPLE(A7)</f>
        <v>1</v>
      </c>
      <c r="H7" s="5" t="str" cm="1">
        <f t="array" ref="H7">_xll.NEXAR_SUPPLY_DISTRIBUTOR_URL(A7)</f>
        <v>https://octopart.com/click/track?country=US&amp;ct=offers&amp;ppid=64751523&amp;sid=10022&amp;sig=0dff514&amp;vpid=661546213&amp;ai4=122649</v>
      </c>
      <c r="I7" s="2" t="str" cm="1">
        <f t="array" ref="I7">_xll.NEXAR_SUPPLY_DISTRIBUTOR_PACKAGING(A7)</f>
        <v/>
      </c>
      <c r="J7" s="2" cm="1">
        <f t="array" ref="J7">_xll.NEXAR_SUPPLY_DISTRIBUTOR_MOQ(A7)</f>
        <v>1</v>
      </c>
      <c r="K7" t="str" cm="1">
        <f t="array" ref="K7">_xll.NEXAR_SUPPLY_DATASHEET_URL(A7)</f>
        <v>http://datasheet.octopart.com/1868783-Dymo-datasheet-62136946.pdf</v>
      </c>
    </row>
    <row r="8" spans="1:11" x14ac:dyDescent="0.25">
      <c r="A8" s="2">
        <v>1868784</v>
      </c>
      <c r="B8" s="2" t="str">
        <f>_xll.NEXAR_SUPPLY_DISTRIBUTOR_SKU(A8)</f>
        <v>1868784</v>
      </c>
      <c r="C8" s="2">
        <f>_xll.NEXAR_SUPPLY_AVERAGE_PRICE(A8)</f>
        <v>56.823333333333345</v>
      </c>
      <c r="D8" s="2" t="str">
        <f>_xll.NEXAR_SUPPLY_DISTRIBUTOR_STOCK($A8)</f>
        <v>Not in stock</v>
      </c>
      <c r="E8" s="5" t="str">
        <f>_xll.NEXAR_SUPPLY_DETAIL_URL(A8)</f>
        <v>https://octopart.com/1868784-dymo-64751524</v>
      </c>
      <c r="F8" s="2" t="str">
        <f>_xll.NEXAR_SUPPLY_DISTRIBUTOR_LEAD_TIME(A8)</f>
        <v/>
      </c>
      <c r="G8" s="2" t="str">
        <f>_xll.NEXAR_SUPPLY_DISTRIBUTOR_ORDER_MULTIPLE(A8)</f>
        <v>3</v>
      </c>
      <c r="H8" s="5" t="str">
        <f>_xll.NEXAR_SUPPLY_DISTRIBUTOR_URL(A8)</f>
        <v>https://octopart.com/click/track?country=US&amp;ct=offers&amp;ppid=64751524&amp;sid=28843&amp;sig=07b2155&amp;vpid=631040776&amp;ai4=122649</v>
      </c>
      <c r="I8" s="2" t="str">
        <f>_xll.NEXAR_SUPPLY_DISTRIBUTOR_PACKAGING(A8)</f>
        <v/>
      </c>
      <c r="J8" s="2">
        <f>_xll.NEXAR_SUPPLY_DISTRIBUTOR_MOQ(A8)</f>
        <v>1</v>
      </c>
      <c r="K8" t="str" cm="1">
        <f t="array" ref="K8">_xll.NEXAR_SUPPLY_DATASHEET_URL(A8)</f>
        <v>http://datasheet.octopart.com/1868784-Dymo-datasheet-62136946.pdf</v>
      </c>
    </row>
    <row r="9" spans="1:11" x14ac:dyDescent="0.25">
      <c r="A9" s="2">
        <v>1868785</v>
      </c>
      <c r="B9" s="2" t="str">
        <f>_xll.NEXAR_SUPPLY_DISTRIBUTOR_SKU(A9)</f>
        <v>8931814</v>
      </c>
      <c r="C9" s="2">
        <f>_xll.NEXAR_SUPPLY_AVERAGE_PRICE(A9)</f>
        <v>66.319999999999993</v>
      </c>
      <c r="D9" s="2" t="str">
        <f>_xll.NEXAR_SUPPLY_DISTRIBUTOR_STOCK($A9)</f>
        <v>In stock</v>
      </c>
      <c r="E9" s="5" t="str">
        <f>_xll.NEXAR_SUPPLY_DETAIL_URL(A9)</f>
        <v>https://octopart.com/1868785-dymo-64751525</v>
      </c>
      <c r="F9" s="2" t="str">
        <f>_xll.NEXAR_SUPPLY_DISTRIBUTOR_LEAD_TIME(A9)</f>
        <v>0</v>
      </c>
      <c r="G9" s="2" t="str">
        <f>_xll.NEXAR_SUPPLY_DISTRIBUTOR_ORDER_MULTIPLE(A9)</f>
        <v>1</v>
      </c>
      <c r="H9" s="5" t="str">
        <f>_xll.NEXAR_SUPPLY_DISTRIBUTOR_URL(A9)</f>
        <v>https://octopart.com/click/track?country=US&amp;ct=offers&amp;ppid=64751525&amp;sid=10022&amp;sig=0c68eb5&amp;vpid=661546214&amp;ai4=122649</v>
      </c>
      <c r="I9" s="2" t="str">
        <f>_xll.NEXAR_SUPPLY_DISTRIBUTOR_PACKAGING(A9)</f>
        <v/>
      </c>
      <c r="J9" s="2">
        <f>_xll.NEXAR_SUPPLY_DISTRIBUTOR_MOQ(A9)</f>
        <v>1</v>
      </c>
      <c r="K9" t="str" cm="1">
        <f t="array" ref="K9">_xll.NEXAR_SUPPLY_DATASHEET_URL(A9)</f>
        <v>http://datasheet.octopart.com/1868785-Dymo-datasheet-62136946.pdf</v>
      </c>
    </row>
    <row r="10" spans="1:11" x14ac:dyDescent="0.25">
      <c r="A10" s="2">
        <v>1868786</v>
      </c>
      <c r="B10" s="2" t="str">
        <f>_xll.NEXAR_SUPPLY_DISTRIBUTOR_SKU(A10)</f>
        <v>1868786</v>
      </c>
      <c r="C10" s="2">
        <f>_xll.NEXAR_SUPPLY_AVERAGE_PRICE(A10)</f>
        <v>25.823333333333334</v>
      </c>
      <c r="D10" s="2" t="str">
        <f>_xll.NEXAR_SUPPLY_DISTRIBUTOR_STOCK($A10)</f>
        <v>Not in stock</v>
      </c>
      <c r="E10" s="5" t="str">
        <f>_xll.NEXAR_SUPPLY_DETAIL_URL(A10)</f>
        <v>https://octopart.com/1868786-dymo-64751526</v>
      </c>
      <c r="F10" s="2" t="str">
        <f>_xll.NEXAR_SUPPLY_DISTRIBUTOR_LEAD_TIME(A10)</f>
        <v/>
      </c>
      <c r="G10" s="2" t="str">
        <f>_xll.NEXAR_SUPPLY_DISTRIBUTOR_ORDER_MULTIPLE(A10)</f>
        <v>6</v>
      </c>
      <c r="H10" s="5" t="str">
        <f>_xll.NEXAR_SUPPLY_DISTRIBUTOR_URL(A10)</f>
        <v>https://octopart.com/click/track?country=US&amp;ct=offers&amp;ppid=64751526&amp;sid=28843&amp;sig=008b57e&amp;vpid=631040778&amp;ai4=122649</v>
      </c>
      <c r="I10" s="2" t="str">
        <f>_xll.NEXAR_SUPPLY_DISTRIBUTOR_PACKAGING(A10)</f>
        <v/>
      </c>
      <c r="J10" s="2">
        <f>_xll.NEXAR_SUPPLY_DISTRIBUTOR_MOQ(A10)</f>
        <v>1</v>
      </c>
      <c r="K10" t="str" cm="1">
        <f t="array" ref="K10">_xll.NEXAR_SUPPLY_DATASHEET_URL(A10)</f>
        <v>http://datasheet.octopart.com/1868786-Dymo-datasheet-62136946.pdf</v>
      </c>
    </row>
    <row r="11" spans="1:11" x14ac:dyDescent="0.25">
      <c r="A11" s="2">
        <v>1868787</v>
      </c>
      <c r="B11" s="2" t="str">
        <f>_xll.NEXAR_SUPPLY_DISTRIBUTOR_SKU(A11)</f>
        <v>70660876</v>
      </c>
      <c r="C11" s="2">
        <f>_xll.NEXAR_SUPPLY_AVERAGE_PRICE(A11)</f>
        <v>29.63</v>
      </c>
      <c r="D11" s="2" t="str">
        <f>_xll.NEXAR_SUPPLY_DISTRIBUTOR_STOCK($A11)</f>
        <v>Not in stock</v>
      </c>
      <c r="E11" s="5" t="str">
        <f>_xll.NEXAR_SUPPLY_DETAIL_URL(A11)</f>
        <v>https://octopart.com/1868787-dymo-64751527</v>
      </c>
      <c r="F11" s="2" t="str">
        <f>_xll.NEXAR_SUPPLY_DISTRIBUTOR_LEAD_TIME(A11)</f>
        <v/>
      </c>
      <c r="G11" s="2" t="str">
        <f>_xll.NEXAR_SUPPLY_DISTRIBUTOR_ORDER_MULTIPLE(A11)</f>
        <v>6</v>
      </c>
      <c r="H11" s="5" t="str">
        <f>_xll.NEXAR_SUPPLY_DISTRIBUTOR_URL(A11)</f>
        <v>https://octopart.com/click/track?c=1&amp;country=US&amp;ct=offers&amp;ppid=64751527&amp;sid=14&amp;sig=01465f9&amp;vpid=225660725&amp;ai4=122649</v>
      </c>
      <c r="I11" s="2" t="str">
        <f>_xll.NEXAR_SUPPLY_DISTRIBUTOR_PACKAGING(A11)</f>
        <v>Bulk</v>
      </c>
      <c r="J11" s="2">
        <f>_xll.NEXAR_SUPPLY_DISTRIBUTOR_MOQ(A11)</f>
        <v>1</v>
      </c>
      <c r="K11" t="str" cm="1">
        <f t="array" ref="K11">_xll.NEXAR_SUPPLY_DATASHEET_URL(A11)</f>
        <v>http://datasheet.octopart.com/1868787-Dymo-datasheet-62136946.pdf</v>
      </c>
    </row>
    <row r="12" spans="1:11" x14ac:dyDescent="0.25">
      <c r="A12" s="2">
        <v>1868788</v>
      </c>
      <c r="B12" s="2" t="str">
        <f>_xll.NEXAR_SUPPLY_DISTRIBUTOR_SKU(A12)</f>
        <v>1868788-ND</v>
      </c>
      <c r="C12" s="2">
        <f>_xll.NEXAR_SUPPLY_AVERAGE_PRICE(A12)</f>
        <v>1.4107285714285716</v>
      </c>
      <c r="D12" s="2" t="str">
        <f>_xll.NEXAR_SUPPLY_DISTRIBUTOR_STOCK($A12)</f>
        <v>Not in stock</v>
      </c>
      <c r="E12" s="5" t="str">
        <f>_xll.NEXAR_SUPPLY_DETAIL_URL(A12)</f>
        <v>https://octopart.com/1868788-phoenix+contact-1941999</v>
      </c>
      <c r="F12" s="2" t="str">
        <f>_xll.NEXAR_SUPPLY_DISTRIBUTOR_LEAD_TIME(A12)</f>
        <v>4</v>
      </c>
      <c r="G12" s="2" t="str">
        <f>_xll.NEXAR_SUPPLY_DISTRIBUTOR_ORDER_MULTIPLE(A12)</f>
        <v>0</v>
      </c>
      <c r="H12" s="5" t="str">
        <f>_xll.NEXAR_SUPPLY_DISTRIBUTOR_URL(A12)</f>
        <v>https://octopart.com/click/track?c=1&amp;country=US&amp;ct=offers&amp;ppid=1941999&amp;sid=459&amp;sig=03e2a87&amp;vpid=89007531&amp;ai4=122649</v>
      </c>
      <c r="I12" s="2" t="str">
        <f>_xll.NEXAR_SUPPLY_DISTRIBUTOR_PACKAGING(A12)</f>
        <v>Bulk</v>
      </c>
      <c r="J12" s="2">
        <f>_xll.NEXAR_SUPPLY_DISTRIBUTOR_MOQ(A12)</f>
        <v>10</v>
      </c>
      <c r="K12" t="str" cm="1">
        <f t="array" ref="K12">_xll.NEXAR_SUPPLY_DATASHEET_URL(A12)</f>
        <v>http://datasheet.octopart.com/1868788-Phoenix-Contact-datasheet-33504644.pdf</v>
      </c>
    </row>
    <row r="13" spans="1:11" x14ac:dyDescent="0.25">
      <c r="A13" s="2">
        <v>1868789</v>
      </c>
      <c r="B13" s="2" t="str">
        <f>_xll.NEXAR_SUPPLY_DISTRIBUTOR_SKU(A13)</f>
        <v>1868789</v>
      </c>
      <c r="C13" s="2">
        <f>_xll.NEXAR_SUPPLY_AVERAGE_PRICE(A13)</f>
        <v>56.506666666666661</v>
      </c>
      <c r="D13" s="2" t="str">
        <f>_xll.NEXAR_SUPPLY_DISTRIBUTOR_STOCK($A13)</f>
        <v>Not in stock</v>
      </c>
      <c r="E13" s="5" t="str">
        <f>_xll.NEXAR_SUPPLY_DETAIL_URL(A13)</f>
        <v>https://octopart.com/1868789-dymo-64751529</v>
      </c>
      <c r="F13" s="2" t="str">
        <f>_xll.NEXAR_SUPPLY_DISTRIBUTOR_LEAD_TIME(A13)</f>
        <v/>
      </c>
      <c r="G13" s="2" t="str">
        <f>_xll.NEXAR_SUPPLY_DISTRIBUTOR_ORDER_MULTIPLE(A13)</f>
        <v>3</v>
      </c>
      <c r="H13" s="5" t="str">
        <f>_xll.NEXAR_SUPPLY_DISTRIBUTOR_URL(A13)</f>
        <v>https://octopart.com/click/track?country=US&amp;ct=offers&amp;ppid=64751529&amp;sid=28843&amp;sig=0f36568&amp;vpid=631040781&amp;ai4=122649</v>
      </c>
      <c r="I13" s="2" t="str">
        <f>_xll.NEXAR_SUPPLY_DISTRIBUTOR_PACKAGING(A13)</f>
        <v/>
      </c>
      <c r="J13" s="2">
        <f>_xll.NEXAR_SUPPLY_DISTRIBUTOR_MOQ(A13)</f>
        <v>1</v>
      </c>
      <c r="K13" t="str" cm="1">
        <f t="array" ref="K13">_xll.NEXAR_SUPPLY_DATASHEET_URL(A13)</f>
        <v>http://datasheet.octopart.com/1868789-Dymo-datasheet-62136946.pdf</v>
      </c>
    </row>
    <row r="14" spans="1:11" x14ac:dyDescent="0.25">
      <c r="A14" s="2">
        <v>1868790</v>
      </c>
      <c r="B14" s="2" t="str">
        <f>_xll.NEXAR_SUPPLY_DISTRIBUTOR_SKU(A14)</f>
        <v>1868790</v>
      </c>
      <c r="C14" s="2">
        <f>_xll.NEXAR_SUPPLY_AVERAGE_PRICE(A14)</f>
        <v>69.143333333333331</v>
      </c>
      <c r="D14" s="2" t="str">
        <f>_xll.NEXAR_SUPPLY_DISTRIBUTOR_STOCK($A14)</f>
        <v>In stock</v>
      </c>
      <c r="E14" s="5" t="str">
        <f>_xll.NEXAR_SUPPLY_DETAIL_URL(A14)</f>
        <v>https://octopart.com/1868790-dymo-64751530</v>
      </c>
      <c r="F14" s="2" t="str">
        <f>_xll.NEXAR_SUPPLY_DISTRIBUTOR_LEAD_TIME(A14)</f>
        <v/>
      </c>
      <c r="G14" s="2" t="str">
        <f>_xll.NEXAR_SUPPLY_DISTRIBUTOR_ORDER_MULTIPLE(A14)</f>
        <v>3</v>
      </c>
      <c r="H14" s="5" t="str">
        <f>_xll.NEXAR_SUPPLY_DISTRIBUTOR_URL(A14)</f>
        <v>https://octopart.com/click/track?country=US&amp;ct=offers&amp;ppid=64751530&amp;sid=28843&amp;sig=0a2619f&amp;vpid=631040782&amp;ai4=122649</v>
      </c>
      <c r="I14" s="2" t="str">
        <f>_xll.NEXAR_SUPPLY_DISTRIBUTOR_PACKAGING(A14)</f>
        <v/>
      </c>
      <c r="J14" s="2">
        <f>_xll.NEXAR_SUPPLY_DISTRIBUTOR_MOQ(A14)</f>
        <v>1</v>
      </c>
      <c r="K14" t="str" cm="1">
        <f t="array" ref="K14">_xll.NEXAR_SUPPLY_DATASHEET_URL(A14)</f>
        <v>http://datasheet.octopart.com/1868790-Dymo-datasheet-62136946.pdf</v>
      </c>
    </row>
    <row r="15" spans="1:11" x14ac:dyDescent="0.25">
      <c r="A15" s="2">
        <v>1868791</v>
      </c>
      <c r="B15" s="2" t="str">
        <f>_xll.NEXAR_SUPPLY_DISTRIBUTOR_SKU(A15)</f>
        <v>1868791</v>
      </c>
      <c r="C15" s="2">
        <f>_xll.NEXAR_SUPPLY_AVERAGE_PRICE(A15)</f>
        <v>25.823333333333334</v>
      </c>
      <c r="D15" s="2" t="str">
        <f>_xll.NEXAR_SUPPLY_DISTRIBUTOR_STOCK($A15)</f>
        <v>In stock</v>
      </c>
      <c r="E15" s="5" t="str">
        <f>_xll.NEXAR_SUPPLY_DETAIL_URL(A15)</f>
        <v>https://octopart.com/1868791-dymo-64751531</v>
      </c>
      <c r="F15" s="2" t="str">
        <f>_xll.NEXAR_SUPPLY_DISTRIBUTOR_LEAD_TIME(A15)</f>
        <v/>
      </c>
      <c r="G15" s="2" t="str">
        <f>_xll.NEXAR_SUPPLY_DISTRIBUTOR_ORDER_MULTIPLE(A15)</f>
        <v>6</v>
      </c>
      <c r="H15" s="5" t="str">
        <f>_xll.NEXAR_SUPPLY_DISTRIBUTOR_URL(A15)</f>
        <v>https://octopart.com/click/track?country=US&amp;ct=offers&amp;ppid=64751531&amp;sid=28843&amp;sig=08fb657&amp;vpid=631040783&amp;ai4=122649</v>
      </c>
      <c r="I15" s="2" t="str">
        <f>_xll.NEXAR_SUPPLY_DISTRIBUTOR_PACKAGING(A15)</f>
        <v/>
      </c>
      <c r="J15" s="2">
        <f>_xll.NEXAR_SUPPLY_DISTRIBUTOR_MOQ(A15)</f>
        <v>1</v>
      </c>
      <c r="K15" t="str" cm="1">
        <f t="array" ref="K15">_xll.NEXAR_SUPPLY_DATASHEET_URL(A15)</f>
        <v>http://datasheet.octopart.com/1868791-Dymo-datasheet-62136946.pdf</v>
      </c>
    </row>
    <row r="16" spans="1:11" x14ac:dyDescent="0.25">
      <c r="A16" s="2">
        <v>1868792</v>
      </c>
      <c r="B16" s="2" t="str">
        <f>_xll.NEXAR_SUPPLY_DISTRIBUTOR_SKU(A16)</f>
        <v>70660881</v>
      </c>
      <c r="C16" s="2">
        <f>_xll.NEXAR_SUPPLY_AVERAGE_PRICE(A16)</f>
        <v>29.63</v>
      </c>
      <c r="D16" s="2" t="str">
        <f>_xll.NEXAR_SUPPLY_DISTRIBUTOR_STOCK($A16)</f>
        <v>Not in stock</v>
      </c>
      <c r="E16" s="5" t="str">
        <f>_xll.NEXAR_SUPPLY_DETAIL_URL(A16)</f>
        <v>https://octopart.com/1868792-dymo-64751532</v>
      </c>
      <c r="F16" s="2" t="str">
        <f>_xll.NEXAR_SUPPLY_DISTRIBUTOR_LEAD_TIME(A16)</f>
        <v/>
      </c>
      <c r="G16" s="2" t="str">
        <f>_xll.NEXAR_SUPPLY_DISTRIBUTOR_ORDER_MULTIPLE(A16)</f>
        <v>6</v>
      </c>
      <c r="H16" s="5" t="str">
        <f>_xll.NEXAR_SUPPLY_DISTRIBUTOR_URL(A16)</f>
        <v>https://octopart.com/click/track?c=1&amp;country=US&amp;ct=offers&amp;ppid=64751532&amp;sid=14&amp;sig=00d65ff&amp;vpid=225660730&amp;ai4=122649</v>
      </c>
      <c r="I16" s="2" t="str">
        <f>_xll.NEXAR_SUPPLY_DISTRIBUTOR_PACKAGING(A16)</f>
        <v>Bulk</v>
      </c>
      <c r="J16" s="2">
        <f>_xll.NEXAR_SUPPLY_DISTRIBUTOR_MOQ(A16)</f>
        <v>1</v>
      </c>
      <c r="K16" t="str" cm="1">
        <f t="array" ref="K16">_xll.NEXAR_SUPPLY_DATASHEET_URL(A16)</f>
        <v>http://datasheet.octopart.com/1868792-Dymo-datasheet-62136946.pdf</v>
      </c>
    </row>
    <row r="17" spans="1:11" x14ac:dyDescent="0.25">
      <c r="A17" s="2">
        <v>1868793</v>
      </c>
      <c r="B17" s="2" t="str">
        <f>_xll.NEXAR_SUPPLY_DISTRIBUTOR_SKU(A17)</f>
        <v>70660882</v>
      </c>
      <c r="C17" s="2">
        <f>_xll.NEXAR_SUPPLY_AVERAGE_PRICE(A17)</f>
        <v>46.49666666666667</v>
      </c>
      <c r="D17" s="2" t="str">
        <f>_xll.NEXAR_SUPPLY_DISTRIBUTOR_STOCK($A17)</f>
        <v>In stock</v>
      </c>
      <c r="E17" s="5" t="str">
        <f>_xll.NEXAR_SUPPLY_DETAIL_URL(A17)</f>
        <v>https://octopart.com/1868793-dymo-64751533</v>
      </c>
      <c r="F17" s="2" t="str">
        <f>_xll.NEXAR_SUPPLY_DISTRIBUTOR_LEAD_TIME(A17)</f>
        <v/>
      </c>
      <c r="G17" s="2" t="str">
        <f>_xll.NEXAR_SUPPLY_DISTRIBUTOR_ORDER_MULTIPLE(A17)</f>
        <v>6</v>
      </c>
      <c r="H17" s="5" t="str">
        <f>_xll.NEXAR_SUPPLY_DISTRIBUTOR_URL(A17)</f>
        <v>https://octopart.com/click/track?c=1&amp;country=US&amp;ct=offers&amp;ppid=64751533&amp;sid=14&amp;sig=0a9ad64&amp;vpid=225660731&amp;ai4=122649</v>
      </c>
      <c r="I17" s="2" t="str">
        <f>_xll.NEXAR_SUPPLY_DISTRIBUTOR_PACKAGING(A17)</f>
        <v>Bulk</v>
      </c>
      <c r="J17" s="2">
        <f>_xll.NEXAR_SUPPLY_DISTRIBUTOR_MOQ(A17)</f>
        <v>1</v>
      </c>
      <c r="K17" t="str" cm="1">
        <f t="array" ref="K17">_xll.NEXAR_SUPPLY_DATASHEET_URL(A17)</f>
        <v>http://datasheet.octopart.com/1868793-Dymo-datasheet-62136946.pdf</v>
      </c>
    </row>
    <row r="18" spans="1:11" x14ac:dyDescent="0.25">
      <c r="A18" s="2">
        <v>1868794</v>
      </c>
      <c r="B18" s="2" t="str">
        <f>_xll.NEXAR_SUPPLY_DISTRIBUTOR_SKU(A18)</f>
        <v>70660883</v>
      </c>
      <c r="C18" s="2">
        <f>_xll.NEXAR_SUPPLY_AVERAGE_PRICE(A18)</f>
        <v>56.506666666666661</v>
      </c>
      <c r="D18" s="2" t="str">
        <f>_xll.NEXAR_SUPPLY_DISTRIBUTOR_STOCK($A18)</f>
        <v>In stock</v>
      </c>
      <c r="E18" s="5" t="str">
        <f>_xll.NEXAR_SUPPLY_DETAIL_URL(A18)</f>
        <v>https://octopart.com/1868794-dymo-64751534</v>
      </c>
      <c r="F18" s="2" t="str">
        <f>_xll.NEXAR_SUPPLY_DISTRIBUTOR_LEAD_TIME(A18)</f>
        <v/>
      </c>
      <c r="G18" s="2" t="str">
        <f>_xll.NEXAR_SUPPLY_DISTRIBUTOR_ORDER_MULTIPLE(A18)</f>
        <v>3</v>
      </c>
      <c r="H18" s="5" t="str">
        <f>_xll.NEXAR_SUPPLY_DISTRIBUTOR_URL(A18)</f>
        <v>https://octopart.com/click/track?c=1&amp;country=US&amp;ct=offers&amp;ppid=64751534&amp;sid=14&amp;sig=0e26415&amp;vpid=225660732&amp;ai4=122649</v>
      </c>
      <c r="I18" s="2" t="str">
        <f>_xll.NEXAR_SUPPLY_DISTRIBUTOR_PACKAGING(A18)</f>
        <v>Bulk</v>
      </c>
      <c r="J18" s="2">
        <f>_xll.NEXAR_SUPPLY_DISTRIBUTOR_MOQ(A18)</f>
        <v>1</v>
      </c>
      <c r="K18" t="str" cm="1">
        <f t="array" ref="K18">_xll.NEXAR_SUPPLY_DATASHEET_URL(A18)</f>
        <v>http://datasheet.octopart.com/1868794-Dymo-datasheet-62136946.pdf</v>
      </c>
    </row>
    <row r="19" spans="1:11" x14ac:dyDescent="0.25">
      <c r="A19" s="2">
        <v>1868795</v>
      </c>
      <c r="B19" s="2" t="str">
        <f>_xll.NEXAR_SUPPLY_DISTRIBUTOR_SKU(A19)</f>
        <v>1868795</v>
      </c>
      <c r="C19" s="2">
        <f>_xll.NEXAR_SUPPLY_AVERAGE_PRICE(A19)</f>
        <v>69.143333333333331</v>
      </c>
      <c r="D19" s="2" t="str">
        <f>_xll.NEXAR_SUPPLY_DISTRIBUTOR_STOCK($A19)</f>
        <v>Not in stock</v>
      </c>
      <c r="E19" s="5" t="str">
        <f>_xll.NEXAR_SUPPLY_DETAIL_URL(A19)</f>
        <v>https://octopart.com/1868795-dymo-64751535</v>
      </c>
      <c r="F19" s="2" t="str">
        <f>_xll.NEXAR_SUPPLY_DISTRIBUTOR_LEAD_TIME(A19)</f>
        <v/>
      </c>
      <c r="G19" s="2" t="str">
        <f>_xll.NEXAR_SUPPLY_DISTRIBUTOR_ORDER_MULTIPLE(A19)</f>
        <v>3</v>
      </c>
      <c r="H19" s="5" t="str">
        <f>_xll.NEXAR_SUPPLY_DISTRIBUTOR_URL(A19)</f>
        <v>https://octopart.com/click/track?country=US&amp;ct=offers&amp;ppid=64751535&amp;sid=28843&amp;sig=0a98058&amp;vpid=631040787&amp;ai4=122649</v>
      </c>
      <c r="I19" s="2" t="str">
        <f>_xll.NEXAR_SUPPLY_DISTRIBUTOR_PACKAGING(A19)</f>
        <v/>
      </c>
      <c r="J19" s="2">
        <f>_xll.NEXAR_SUPPLY_DISTRIBUTOR_MOQ(A19)</f>
        <v>1</v>
      </c>
      <c r="K19" t="str" cm="1">
        <f t="array" ref="K19">_xll.NEXAR_SUPPLY_DATASHEET_URL(A19)</f>
        <v>http://datasheet.octopart.com/1868795-Dymo-datasheet-62136946.pdf</v>
      </c>
    </row>
    <row r="20" spans="1:11" x14ac:dyDescent="0.25">
      <c r="A20" s="2">
        <v>1868796</v>
      </c>
      <c r="B20" s="2" t="str">
        <f>_xll.NEXAR_SUPPLY_DISTRIBUTOR_SKU(A20)</f>
        <v>8931854</v>
      </c>
      <c r="C20" s="2">
        <f>_xll.NEXAR_SUPPLY_AVERAGE_PRICE(A20)</f>
        <v>29.759428571428575</v>
      </c>
      <c r="D20" s="2" t="str">
        <f>_xll.NEXAR_SUPPLY_DISTRIBUTOR_STOCK($A20)</f>
        <v>In stock</v>
      </c>
      <c r="E20" s="5" t="str">
        <f>_xll.NEXAR_SUPPLY_DETAIL_URL(A20)</f>
        <v>https://octopart.com/1868796-dymo-64751536</v>
      </c>
      <c r="F20" s="2" t="str">
        <f>_xll.NEXAR_SUPPLY_DISTRIBUTOR_LEAD_TIME(A20)</f>
        <v>0</v>
      </c>
      <c r="G20" s="2" t="str">
        <f>_xll.NEXAR_SUPPLY_DISTRIBUTOR_ORDER_MULTIPLE(A20)</f>
        <v>1</v>
      </c>
      <c r="H20" s="5" t="str">
        <f>_xll.NEXAR_SUPPLY_DISTRIBUTOR_URL(A20)</f>
        <v>https://octopart.com/click/track?country=US&amp;ct=offers&amp;ppid=64751536&amp;sid=10022&amp;sig=081d8ff&amp;vpid=730983211&amp;ai4=122649</v>
      </c>
      <c r="I20" s="2" t="str">
        <f>_xll.NEXAR_SUPPLY_DISTRIBUTOR_PACKAGING(A20)</f>
        <v/>
      </c>
      <c r="J20" s="2">
        <f>_xll.NEXAR_SUPPLY_DISTRIBUTOR_MOQ(A20)</f>
        <v>1</v>
      </c>
      <c r="K20" t="str" cm="1">
        <f t="array" ref="K20">_xll.NEXAR_SUPPLY_DATASHEET_URL(A20)</f>
        <v>http://datasheet.octopart.com/1868796-Dymo-datasheet-62136946.pdf</v>
      </c>
    </row>
    <row r="21" spans="1:11" x14ac:dyDescent="0.25">
      <c r="A21" s="2">
        <v>1868797</v>
      </c>
      <c r="B21" s="2" t="str">
        <f>_xll.NEXAR_SUPPLY_DISTRIBUTOR_SKU(A21)</f>
        <v>1868797</v>
      </c>
      <c r="C21" s="2">
        <f>_xll.NEXAR_SUPPLY_AVERAGE_PRICE(A21)</f>
        <v>29.63</v>
      </c>
      <c r="D21" s="2" t="str">
        <f>_xll.NEXAR_SUPPLY_DISTRIBUTOR_STOCK($A21)</f>
        <v>Not in stock</v>
      </c>
      <c r="E21" s="5" t="str">
        <f>_xll.NEXAR_SUPPLY_DETAIL_URL(A21)</f>
        <v>https://octopart.com/1868797-dymo-64751537</v>
      </c>
      <c r="F21" s="2" t="str">
        <f>_xll.NEXAR_SUPPLY_DISTRIBUTOR_LEAD_TIME(A21)</f>
        <v/>
      </c>
      <c r="G21" s="2" t="str">
        <f>_xll.NEXAR_SUPPLY_DISTRIBUTOR_ORDER_MULTIPLE(A21)</f>
        <v>1</v>
      </c>
      <c r="H21" s="5" t="str">
        <f>_xll.NEXAR_SUPPLY_DISTRIBUTOR_URL(A21)</f>
        <v>https://octopart.com/click/track?country=US&amp;ct=offers&amp;ppid=64751537&amp;sid=28843&amp;sig=0ac084d&amp;vpid=631040789&amp;ai4=122649</v>
      </c>
      <c r="I21" s="2" t="str">
        <f>_xll.NEXAR_SUPPLY_DISTRIBUTOR_PACKAGING(A21)</f>
        <v/>
      </c>
      <c r="J21" s="2">
        <f>_xll.NEXAR_SUPPLY_DISTRIBUTOR_MOQ(A21)</f>
        <v>1</v>
      </c>
      <c r="K21" t="str" cm="1">
        <f t="array" ref="K21">_xll.NEXAR_SUPPLY_DATASHEET_URL(A21)</f>
        <v>http://datasheet.octopart.com/1868797-Dymo-datasheet-62136946.pdf</v>
      </c>
    </row>
    <row r="22" spans="1:11" x14ac:dyDescent="0.25">
      <c r="A22" s="2">
        <v>1868798</v>
      </c>
      <c r="B22" s="2" t="str">
        <f>_xll.NEXAR_SUPPLY_DISTRIBUTOR_SKU(A22)</f>
        <v>8931867</v>
      </c>
      <c r="C22" s="2">
        <f>_xll.NEXAR_SUPPLY_AVERAGE_PRICE(A22)</f>
        <v>51.677</v>
      </c>
      <c r="D22" s="2" t="str">
        <f>_xll.NEXAR_SUPPLY_DISTRIBUTOR_STOCK($A22)</f>
        <v>In stock</v>
      </c>
      <c r="E22" s="5" t="str">
        <f>_xll.NEXAR_SUPPLY_DETAIL_URL(A22)</f>
        <v>https://octopart.com/1868798-dymo-64751538</v>
      </c>
      <c r="F22" s="2" t="str">
        <f>_xll.NEXAR_SUPPLY_DISTRIBUTOR_LEAD_TIME(A22)</f>
        <v>0</v>
      </c>
      <c r="G22" s="2" t="str">
        <f>_xll.NEXAR_SUPPLY_DISTRIBUTOR_ORDER_MULTIPLE(A22)</f>
        <v>1</v>
      </c>
      <c r="H22" s="5" t="str">
        <f>_xll.NEXAR_SUPPLY_DISTRIBUTOR_URL(A22)</f>
        <v>https://octopart.com/click/track?country=US&amp;ct=offers&amp;ppid=64751538&amp;sid=10022&amp;sig=0387866&amp;vpid=730983213&amp;ai4=122649</v>
      </c>
      <c r="I22" s="2" t="str">
        <f>_xll.NEXAR_SUPPLY_DISTRIBUTOR_PACKAGING(A22)</f>
        <v/>
      </c>
      <c r="J22" s="2">
        <f>_xll.NEXAR_SUPPLY_DISTRIBUTOR_MOQ(A22)</f>
        <v>1</v>
      </c>
      <c r="K22" t="str" cm="1">
        <f t="array" ref="K22">_xll.NEXAR_SUPPLY_DATASHEET_URL(A22)</f>
        <v>http://datasheet.octopart.com/1868798-Dymo-datasheet-62136946.pdf</v>
      </c>
    </row>
    <row r="24" spans="1:11" x14ac:dyDescent="0.25">
      <c r="A24" s="3" t="s">
        <v>6</v>
      </c>
      <c r="C24" s="4" t="s">
        <v>17</v>
      </c>
      <c r="D24" s="4" t="s">
        <v>0</v>
      </c>
      <c r="E24" s="4" t="s">
        <v>21</v>
      </c>
    </row>
    <row r="25" spans="1:11" x14ac:dyDescent="0.25">
      <c r="A25" s="2" t="s">
        <v>3</v>
      </c>
      <c r="B25" s="2"/>
      <c r="C25" s="2" t="s">
        <v>18</v>
      </c>
      <c r="D25" s="2">
        <v>100</v>
      </c>
      <c r="E25" s="2" cm="1">
        <f t="array" ref="E25">_xll.NEXAR_SUPPLY_DISTRIBUTOR_PRICE(A25,,C25,D25)</f>
        <v>50.62</v>
      </c>
    </row>
    <row r="26" spans="1:11" x14ac:dyDescent="0.25">
      <c r="A26" s="2" t="s">
        <v>19</v>
      </c>
      <c r="B26" s="2"/>
      <c r="C26" s="2" t="s">
        <v>18</v>
      </c>
      <c r="D26" s="2">
        <v>50000</v>
      </c>
      <c r="E26" s="2" cm="1">
        <f t="array" ref="E26">_xll.NEXAR_SUPPLY_DISTRIBUTOR_PRICE(A26,,C26,D26)</f>
        <v>9.9499999999999993</v>
      </c>
    </row>
    <row r="27" spans="1:11" x14ac:dyDescent="0.25">
      <c r="A27" s="2" t="s">
        <v>1</v>
      </c>
      <c r="B27" s="2"/>
      <c r="C27" s="2"/>
      <c r="D27" s="2">
        <v>25</v>
      </c>
      <c r="E27" s="2" cm="1">
        <f t="array" ref="E27">_xll.NEXAR_SUPPLY_DISTRIBUTOR_PRICE(A27,,C27,D27)</f>
        <v>7.96</v>
      </c>
    </row>
    <row r="28" spans="1:11" x14ac:dyDescent="0.25">
      <c r="A28" s="2" t="s">
        <v>2</v>
      </c>
      <c r="B28" s="2"/>
      <c r="C28" s="2"/>
      <c r="D28" s="2">
        <v>100</v>
      </c>
      <c r="E28" s="2" cm="1">
        <f t="array" ref="E28">_xll.NEXAR_SUPPLY_DISTRIBUTOR_PRICE(A28,,C28,D28)</f>
        <v>2.36</v>
      </c>
    </row>
    <row r="29" spans="1:11" x14ac:dyDescent="0.25">
      <c r="E29" s="2"/>
    </row>
  </sheetData>
  <phoneticPr fontId="1" type="noConversion"/>
  <hyperlinks>
    <hyperlink ref="E7" r:id="rId1" tooltip="Click for more information" display="https://octopart.com/1868783-dymo-64751523" xr:uid="{0674DAA6-B621-47AD-B225-2FFD75E8063F}"/>
    <hyperlink ref="H7" r:id="rId2" tooltip="Click for more information" display="https://octopart.com/click/track?country=US&amp;ct=offers&amp;ppid=64751523&amp;sid=10022&amp;sig=0dff514&amp;vpid=661546213&amp;ai4=122649" xr:uid="{AFF85BAA-3C8C-4012-BF23-0F041F0A97B2}"/>
    <hyperlink ref="E8" r:id="rId3" tooltip="Click for more information" display="https://octopart.com/1868784-dymo-64751524" xr:uid="{6FE68A8C-E1C4-49FD-9054-B68F9EC7E77C}"/>
    <hyperlink ref="E9" r:id="rId4" tooltip="Click for more information" display="https://octopart.com/1868785-dymo-64751525" xr:uid="{2DFBDBDC-757E-420A-8F7A-9BA4AD37021C}"/>
    <hyperlink ref="E10" r:id="rId5" tooltip="Click for more information" display="https://octopart.com/1868786-dymo-64751526" xr:uid="{3EC9F6BC-85CE-4B6F-B61B-88D4E706ACFE}"/>
    <hyperlink ref="E11" r:id="rId6" tooltip="Click for more information" display="https://octopart.com/1868787-dymo-64751527" xr:uid="{12C2C896-5BC8-4DD0-BD00-26067EEB784E}"/>
    <hyperlink ref="E12" r:id="rId7" tooltip="Click for more information" display="https://octopart.com/1868788-phoenix+contact-1941999" xr:uid="{A690EEAD-2D45-482D-A8A0-630BC30487B0}"/>
    <hyperlink ref="E13" r:id="rId8" tooltip="Click for more information" display="https://octopart.com/1868789-dymo-64751529" xr:uid="{F930A424-4C21-4C58-BD3E-E6E76281A29A}"/>
    <hyperlink ref="E14" r:id="rId9" tooltip="Click for more information" display="https://octopart.com/1868790-dymo-64751530" xr:uid="{5747B4CD-C5EE-47C5-916B-B74FD90C7B09}"/>
    <hyperlink ref="E15" r:id="rId10" tooltip="Click for more information" display="https://octopart.com/1868791-dymo-64751531" xr:uid="{59AF2836-A41A-4614-AB61-7FDB87B9E0D0}"/>
    <hyperlink ref="E16" r:id="rId11" tooltip="Click for more information" display="https://octopart.com/1868792-dymo-64751532" xr:uid="{605A38EF-9D00-40E3-8AD2-6C7FB690371C}"/>
    <hyperlink ref="E17" r:id="rId12" tooltip="Click for more information" display="https://octopart.com/1868793-dymo-64751533" xr:uid="{93519639-FE0C-4F59-B0EF-B6C36C8C137E}"/>
    <hyperlink ref="E18" r:id="rId13" tooltip="Click for more information" display="https://octopart.com/1868794-sanford-65706392" xr:uid="{70C02C13-CC05-49D2-987D-F5CEA6287152}"/>
    <hyperlink ref="E19" r:id="rId14" tooltip="Click for more information" display="https://octopart.com/1868795-dymo-64751535" xr:uid="{7EB3E686-E602-4522-952A-10AE3C0D89A7}"/>
    <hyperlink ref="E20" r:id="rId15" tooltip="Click for more information" display="https://octopart.com/1868796-dymo-64751536" xr:uid="{C67D7307-D6AB-443A-9A85-08B4E105D9B2}"/>
    <hyperlink ref="E21" r:id="rId16" tooltip="Click for more information" display="https://octopart.com/1868797-dymo-64751537" xr:uid="{85FF1B7E-4E7E-4D5D-B8BE-C841A27FF6BF}"/>
    <hyperlink ref="E22" r:id="rId17" tooltip="Click for more information" display="https://octopart.com/1868798-dymo-64751538" xr:uid="{97354464-4107-4FCD-82F2-6EC1E14CC0D7}"/>
    <hyperlink ref="H8" r:id="rId18" tooltip="Click for more information" display="https://octopart.com/click/track?country=US&amp;ct=offers&amp;ppid=64751524&amp;sid=28843&amp;sig=07b2155&amp;vpid=631040776&amp;ai4=122649" xr:uid="{886C0226-D684-4202-8100-5EFACE4A8FC1}"/>
    <hyperlink ref="H9" r:id="rId19" tooltip="Click for more information" display="https://octopart.com/click/track?country=US&amp;ct=offers&amp;ppid=64751525&amp;sid=10022&amp;sig=0c68eb5&amp;vpid=661546214&amp;ai4=122649" xr:uid="{9C4536BE-8EFB-4284-BAEF-E1A287A73BB6}"/>
    <hyperlink ref="H10" r:id="rId20" tooltip="Click for more information" display="https://octopart.com/click/track?country=US&amp;ct=offers&amp;ppid=64751526&amp;sid=28843&amp;sig=008b57e&amp;vpid=631040778&amp;ai4=122649" xr:uid="{1F1062C7-A844-42D5-B3F6-BA2AEACFE542}"/>
    <hyperlink ref="H11" r:id="rId21" tooltip="Click for more information" display="https://octopart.com/click/track?c=1&amp;country=US&amp;ct=offers&amp;ppid=64751527&amp;sid=14&amp;sig=01465f9&amp;vpid=225660725&amp;ai4=122649" xr:uid="{B846BE39-98E3-4461-903E-FE343A243CDD}"/>
    <hyperlink ref="H12" r:id="rId22" tooltip="Click for more information" display="https://octopart.com/click/track?c=1&amp;country=US&amp;ct=offers&amp;ppid=1941999&amp;sid=459&amp;sig=03e2a87&amp;vpid=89007531&amp;ai4=122649" xr:uid="{E7A8A470-1F62-430E-BB33-7B2DE655BD0D}"/>
    <hyperlink ref="H13" r:id="rId23" tooltip="Click for more information" display="https://octopart.com/click/track?country=US&amp;ct=offers&amp;ppid=64751529&amp;sid=28843&amp;sig=0f36568&amp;vpid=631040781&amp;ai4=122649" xr:uid="{D5E06390-14B2-4225-935E-2B0904306845}"/>
    <hyperlink ref="H14" r:id="rId24" tooltip="Click for more information" display="https://octopart.com/click/track?country=US&amp;ct=offers&amp;ppid=64751530&amp;sid=28843&amp;sig=0a2619f&amp;vpid=631040782&amp;ai4=122649" xr:uid="{1D087C46-5D22-4547-BDD9-FBD25BFDA1E6}"/>
    <hyperlink ref="H15" r:id="rId25" tooltip="Click for more information" display="https://octopart.com/click/track?country=US&amp;ct=offers&amp;ppid=64751531&amp;sid=28843&amp;sig=08fb657&amp;vpid=631040783&amp;ai4=122649" xr:uid="{4B51A4A5-E3CA-4214-9266-F08E157D03DF}"/>
    <hyperlink ref="H16" r:id="rId26" tooltip="Click for more information" display="https://octopart.com/click/track?c=1&amp;country=US&amp;ct=offers&amp;ppid=64751532&amp;sid=14&amp;sig=00d65ff&amp;vpid=225660730&amp;ai4=122649" xr:uid="{D7B7E250-6490-4ECE-9BC5-875ABDD8D4DC}"/>
    <hyperlink ref="H17" r:id="rId27" tooltip="Click for more information" display="https://octopart.com/click/track?c=1&amp;country=US&amp;ct=offers&amp;ppid=64751533&amp;sid=14&amp;sig=0a9ad64&amp;vpid=225660731&amp;ai4=122649" xr:uid="{32B6A991-A266-48D4-B9F3-15DE55AA1AE1}"/>
    <hyperlink ref="H18" r:id="rId28" tooltip="Click for more information" display="https://octopart.com/click/track?c=1&amp;country=US&amp;ct=offers&amp;ppid=64751534&amp;sid=14&amp;sig=0e26415&amp;vpid=225660732&amp;ai4=122649" xr:uid="{EAE0FDEE-8A8A-4904-8960-81AC701C3A97}"/>
    <hyperlink ref="H19" r:id="rId29" tooltip="Click for more information" display="https://octopart.com/click/track?country=US&amp;ct=offers&amp;ppid=64751535&amp;sid=28843&amp;sig=0a98058&amp;vpid=631040787&amp;ai4=122649" xr:uid="{D531BE85-FDA7-47E8-A0CF-1E821E6642AF}"/>
    <hyperlink ref="H20" r:id="rId30" tooltip="Click for more information" display="https://octopart.com/click/track?country=US&amp;ct=offers&amp;ppid=64751536&amp;sid=10022&amp;sig=0272f55&amp;vpid=661546216&amp;ai4=122649" xr:uid="{855CB90C-55C6-406B-A6CE-084F1CFA79DA}"/>
    <hyperlink ref="H21" r:id="rId31" tooltip="Click for more information" display="https://octopart.com/click/track?country=US&amp;ct=offers&amp;ppid=64751537&amp;sid=28843&amp;sig=0ac084d&amp;vpid=631040789&amp;ai4=122649" xr:uid="{2CD28ED4-2D84-4A08-B3FC-E866E07367A7}"/>
    <hyperlink ref="H22" r:id="rId32" tooltip="Click for more information" display="https://octopart.com/click/track?country=US&amp;ct=offers&amp;ppid=64751538&amp;sid=10022&amp;sig=0c599e4&amp;vpid=661546217&amp;ai4=122649" xr:uid="{95C3E836-55DD-44E2-9E1F-96D55B800E66}"/>
  </hyperlinks>
  <pageMargins left="0.7" right="0.7" top="0.75" bottom="0.75" header="0.3" footer="0.3"/>
  <pageSetup paperSize="9" orientation="portrait" r:id="rId3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Sample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 Barton</dc:creator>
  <cp:lastModifiedBy>Rob Barton</cp:lastModifiedBy>
  <dcterms:created xsi:type="dcterms:W3CDTF">2021-02-25T12:12:45Z</dcterms:created>
  <dcterms:modified xsi:type="dcterms:W3CDTF">2021-07-08T16:14:30Z</dcterms:modified>
</cp:coreProperties>
</file>